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itization criteri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<sst xmlns="http://schemas.openxmlformats.org/spreadsheetml/2006/main" count="262" uniqueCount="124">
  <si>
    <t xml:space="preserve">Partner/Office</t>
  </si>
  <si>
    <t xml:space="preserve">Workshop Group</t>
  </si>
  <si>
    <t xml:space="preserve">Use Case</t>
  </si>
  <si>
    <t xml:space="preserve">Policy question</t>
  </si>
  <si>
    <t xml:space="preserve">Policy Relevance (score 1 to 5): Is this a national priority? Is this urgent policy question?</t>
  </si>
  <si>
    <t xml:space="preserve">Decision Impact (score 1 to 5) Will the output change the decision? Will output inform Planning? Will output guide budgeting?</t>
  </si>
  <si>
    <t xml:space="preserve">Data Availability (score 1 to 5): are data adquate? Are they accessible? Can they be merged?</t>
  </si>
  <si>
    <t xml:space="preserve">Feasibility (6-12months?) (score 1 to 5) Can result be produced in 12 months? Can it be implemented in 12 months?</t>
  </si>
  <si>
    <t xml:space="preserve">Capacity building potential (score 1 to 5): Is this suitable for hands-on (learning by doing) training? Can it create institutional capacity?</t>
  </si>
  <si>
    <t xml:space="preserve">Is there similar efforts elswhere (Yes/No)</t>
  </si>
  <si>
    <t xml:space="preserve">Please provide three key reasons that justify your score:</t>
  </si>
  <si>
    <t xml:space="preserve">Total</t>
  </si>
  <si>
    <t xml:space="preserve">Nutrition Office</t>
  </si>
  <si>
    <t xml:space="preserve">1</t>
  </si>
  <si>
    <t xml:space="preserve">Cholera Vaccination Campaign Optimization</t>
  </si>
  <si>
    <t xml:space="preserve">Should the ministry scale cholera vaccination campaign optimization in the highest-burden districts during the next planning cycle?</t>
  </si>
  <si>
    <t xml:space="preserve">Yes</t>
  </si>
  <si>
    <t xml:space="preserve">DPC</t>
  </si>
  <si>
    <t xml:space="preserve">2</t>
  </si>
  <si>
    <t xml:space="preserve">Measles Catch-up Immunization Planning</t>
  </si>
  <si>
    <t xml:space="preserve">Which regions should be prioritized first for measles catch-up immunization planning based on burden, equity, and readiness?</t>
  </si>
  <si>
    <t xml:space="preserve">AAU</t>
  </si>
  <si>
    <t xml:space="preserve">3</t>
  </si>
  <si>
    <t xml:space="preserve">Malaria Bed Net Targeting</t>
  </si>
  <si>
    <t xml:space="preserve">Can routine data be used to improve budgeting and implementation decisions for malaria bed net targeting over the next 12 months?</t>
  </si>
  <si>
    <t xml:space="preserve">No</t>
  </si>
  <si>
    <t xml:space="preserve">Public Health Institute</t>
  </si>
  <si>
    <t xml:space="preserve">4</t>
  </si>
  <si>
    <t xml:space="preserve">TB Treatment Adherence Monitoring</t>
  </si>
  <si>
    <t xml:space="preserve">What targeted intervention strategy would most improve outcomes for tb treatment adherence monitoring in underserved populations?</t>
  </si>
  <si>
    <t xml:space="preserve">MoH</t>
  </si>
  <si>
    <t xml:space="preserve">5</t>
  </si>
  <si>
    <t xml:space="preserve">HIV Viral Load Monitoring Expansion</t>
  </si>
  <si>
    <t xml:space="preserve">How should national and regional teams sequence investments for hiv viral load monitoring expansion to maximize public health impact?</t>
  </si>
  <si>
    <t xml:space="preserve">Maternal Death Surveillance Review</t>
  </si>
  <si>
    <t xml:space="preserve">Should the ministry scale maternal death surveillance review in the highest-burden districts during the next planning cycle?</t>
  </si>
  <si>
    <t xml:space="preserve">Neonatal Sepsis Early Warning</t>
  </si>
  <si>
    <t xml:space="preserve">Which regions should be prioritized first for neonatal sepsis early warning based on burden, equity, and readiness?</t>
  </si>
  <si>
    <t xml:space="preserve">Zero-dose Child Immunization Mapping</t>
  </si>
  <si>
    <t xml:space="preserve">Can routine data be used to improve budgeting and implementation decisions for zero-dose child immunization mapping over the next 12 months?</t>
  </si>
  <si>
    <t xml:space="preserve">Anemia Screening In Pregnancy</t>
  </si>
  <si>
    <t xml:space="preserve">What targeted intervention strategy would most improve outcomes for anemia screening in pregnancy in underserved populations?</t>
  </si>
  <si>
    <t xml:space="preserve">Cervical Cancer Screening Scale-up</t>
  </si>
  <si>
    <t xml:space="preserve">How should national and regional teams sequence investments for cervical cancer screening scale-up to maximize public health impact?</t>
  </si>
  <si>
    <t xml:space="preserve">Diabetes Case Finding In Primary Care</t>
  </si>
  <si>
    <t xml:space="preserve">Should the ministry scale diabetes case finding in primary care in the highest-burden districts during the next planning cycle?</t>
  </si>
  <si>
    <t xml:space="preserve">Hypertension Control Outreach</t>
  </si>
  <si>
    <t xml:space="preserve">Which regions should be prioritized first for hypertension control outreach based on burden, equity, and readiness?</t>
  </si>
  <si>
    <t xml:space="preserve">Antimicrobial Resistance Surveillance</t>
  </si>
  <si>
    <t xml:space="preserve">Can routine data be used to improve budgeting and implementation decisions for antimicrobial resistance surveillance over the next 12 months?</t>
  </si>
  <si>
    <t xml:space="preserve">Hepatitis B Birth Dose Coverage</t>
  </si>
  <si>
    <t xml:space="preserve">What targeted intervention strategy would most improve outcomes for hepatitis b birth dose coverage in underserved populations?</t>
  </si>
  <si>
    <t xml:space="preserve">Diarrheal Disease Hotspot Response</t>
  </si>
  <si>
    <t xml:space="preserve">How should national and regional teams sequence investments for diarrheal disease hotspot response to maximize public health impact?</t>
  </si>
  <si>
    <t xml:space="preserve">Child Nutrition Supplementation Targeting</t>
  </si>
  <si>
    <t xml:space="preserve">Should the ministry scale child nutrition supplementation targeting in the highest-burden districts during the next planning cycle?</t>
  </si>
  <si>
    <t xml:space="preserve">School Deworming Campaign Planning</t>
  </si>
  <si>
    <t xml:space="preserve">Which regions should be prioritized first for school deworming campaign planning based on burden, equity, and readiness?</t>
  </si>
  <si>
    <t xml:space="preserve">Dengue Vector Control Operations</t>
  </si>
  <si>
    <t xml:space="preserve">Can routine data be used to improve budgeting and implementation decisions for dengue vector control operations over the next 12 months?</t>
  </si>
  <si>
    <t xml:space="preserve">Rabies Post-exposure Prophylaxis Access</t>
  </si>
  <si>
    <t xml:space="preserve">What targeted intervention strategy would most improve outcomes for rabies post-exposure prophylaxis access in underserved populations?</t>
  </si>
  <si>
    <t xml:space="preserve">Pneumonia Oxygen Supply Forecasting</t>
  </si>
  <si>
    <t xml:space="preserve">How should national and regional teams sequence investments for pneumonia oxygen supply forecasting to maximize public health impact?</t>
  </si>
  <si>
    <t xml:space="preserve">Emergency Ambulance Deployment</t>
  </si>
  <si>
    <t xml:space="preserve">Should the ministry scale emergency ambulance deployment in the highest-burden districts during the next planning cycle?</t>
  </si>
  <si>
    <t xml:space="preserve">Blood Bank Stock Optimization</t>
  </si>
  <si>
    <t xml:space="preserve">Which regions should be prioritized first for blood bank stock optimization based on burden, equity, and readiness?</t>
  </si>
  <si>
    <t xml:space="preserve">Family Planning Commodity Distribution</t>
  </si>
  <si>
    <t xml:space="preserve">Can routine data be used to improve budgeting and implementation decisions for family planning commodity distribution over the next 12 months?</t>
  </si>
  <si>
    <t xml:space="preserve">Adolescent Mental Health Referral Pathways</t>
  </si>
  <si>
    <t xml:space="preserve">What targeted intervention strategy would most improve outcomes for adolescent mental health referral pathways in underserved populations?</t>
  </si>
  <si>
    <t xml:space="preserve">Substance Use Harm Reduction Outreach</t>
  </si>
  <si>
    <t xml:space="preserve">How should national and regional teams sequence investments for substance use harm reduction outreach to maximize public health impact?</t>
  </si>
  <si>
    <t xml:space="preserve">Road Traffic Injury Surveillance</t>
  </si>
  <si>
    <t xml:space="preserve">Should the ministry scale road traffic injury surveillance in the highest-burden districts during the next planning cycle?</t>
  </si>
  <si>
    <t xml:space="preserve">Heatwave Early Warning Response</t>
  </si>
  <si>
    <t xml:space="preserve">Which regions should be prioritized first for heatwave early warning response based on burden, equity, and readiness?</t>
  </si>
  <si>
    <t xml:space="preserve">Flood-related Disease Preparedness</t>
  </si>
  <si>
    <t xml:space="preserve">Can routine data be used to improve budgeting and implementation decisions for flood-related disease preparedness over the next 12 months?</t>
  </si>
  <si>
    <t xml:space="preserve">Wash Investment Prioritization</t>
  </si>
  <si>
    <t xml:space="preserve">What targeted intervention strategy would most improve outcomes for wash investment prioritization in underserved populations?</t>
  </si>
  <si>
    <t xml:space="preserve">Oral Cholera Outbreak Forecasting</t>
  </si>
  <si>
    <t xml:space="preserve">How should national and regional teams sequence investments for oral cholera outbreak forecasting to maximize public health impact?</t>
  </si>
  <si>
    <t xml:space="preserve">Polio Environmental Surveillance</t>
  </si>
  <si>
    <t xml:space="preserve">Should the ministry scale polio environmental surveillance in the highest-burden districts during the next planning cycle?</t>
  </si>
  <si>
    <t xml:space="preserve">Vaccine Cold Chain Maintenance</t>
  </si>
  <si>
    <t xml:space="preserve">Which regions should be prioritized first for vaccine cold chain maintenance based on burden, equity, and readiness?</t>
  </si>
  <si>
    <t xml:space="preserve">Community Health Worker Supervision</t>
  </si>
  <si>
    <t xml:space="preserve">Can routine data be used to improve budgeting and implementation decisions for community health worker supervision over the next 12 months?</t>
  </si>
  <si>
    <t xml:space="preserve">Maternal Waiting Home Utilization</t>
  </si>
  <si>
    <t xml:space="preserve">What targeted intervention strategy would most improve outcomes for maternal waiting home utilization in underserved populations?</t>
  </si>
  <si>
    <t xml:space="preserve">Postnatal Home Visit Coverage</t>
  </si>
  <si>
    <t xml:space="preserve">How should national and regional teams sequence investments for postnatal home visit coverage to maximize public health impact?</t>
  </si>
  <si>
    <t xml:space="preserve">Sickle Cell Screening Pilot</t>
  </si>
  <si>
    <t xml:space="preserve">Should the ministry scale sickle cell screening pilot in the highest-burden districts during the next planning cycle?</t>
  </si>
  <si>
    <t xml:space="preserve">Leprosy Contact Tracing</t>
  </si>
  <si>
    <t xml:space="preserve">Which regions should be prioritized first for leprosy contact tracing based on burden, equity, and readiness?</t>
  </si>
  <si>
    <t xml:space="preserve">Trachoma Elimination Monitoring</t>
  </si>
  <si>
    <t xml:space="preserve">Can routine data be used to improve budgeting and implementation decisions for trachoma elimination monitoring over the next 12 months?</t>
  </si>
  <si>
    <t xml:space="preserve">Ntd Mass Drug Administration Planning</t>
  </si>
  <si>
    <t xml:space="preserve">What targeted intervention strategy would most improve outcomes for ntd mass drug administration planning in underserved populations?</t>
  </si>
  <si>
    <t xml:space="preserve">Foodborne Illness Outbreak Detection</t>
  </si>
  <si>
    <t xml:space="preserve">How should national and regional teams sequence investments for foodborne illness outbreak detection to maximize public health impact?</t>
  </si>
  <si>
    <t xml:space="preserve">Occupational Health Surveillance For Miners</t>
  </si>
  <si>
    <t xml:space="preserve">Should the ministry scale occupational health surveillance for miners in the highest-burden districts during the next planning cycle?</t>
  </si>
  <si>
    <t xml:space="preserve">Air Pollution Exposure Monitoring</t>
  </si>
  <si>
    <t xml:space="preserve">Which regions should be prioritized first for air pollution exposure monitoring based on burden, equity, and readiness?</t>
  </si>
  <si>
    <t xml:space="preserve">Tobacco Cessation Counseling</t>
  </si>
  <si>
    <t xml:space="preserve">Can routine data be used to improve budgeting and implementation decisions for tobacco cessation counseling over the next 12 months?</t>
  </si>
  <si>
    <t xml:space="preserve">Cataract Surgery Backlog Mapping</t>
  </si>
  <si>
    <t xml:space="preserve">What targeted intervention strategy would most improve outcomes for cataract surgery backlog mapping in underserved populations?</t>
  </si>
  <si>
    <t xml:space="preserve">Newborn Hearing Screening</t>
  </si>
  <si>
    <t xml:space="preserve">How should national and regional teams sequence investments for newborn hearing screening to maximize public health impact?</t>
  </si>
  <si>
    <t xml:space="preserve">Adolescent Pregnancy Prevention</t>
  </si>
  <si>
    <t xml:space="preserve">Should the ministry scale adolescent pregnancy prevention in the highest-burden districts during the next planning cycle?</t>
  </si>
  <si>
    <t xml:space="preserve">Breastfeeding Support Program Targeting</t>
  </si>
  <si>
    <t xml:space="preserve">Which regions should be prioritized first for breastfeeding support program targeting based on burden, equity, and readiness?</t>
  </si>
  <si>
    <t xml:space="preserve">Climate-sensitive Disease Surveillance</t>
  </si>
  <si>
    <t xml:space="preserve">Can routine data be used to improve budgeting and implementation decisions for climate-sensitive disease surveillance over the next 12 months?</t>
  </si>
  <si>
    <t xml:space="preserve">Outbreak Laboratory Turnaround Time</t>
  </si>
  <si>
    <t xml:space="preserve">What targeted intervention strategy would most improve outcomes for outbreak laboratory turnaround time in underserved populations?</t>
  </si>
  <si>
    <t xml:space="preserve">Electronic Medical Record Completeness</t>
  </si>
  <si>
    <t xml:space="preserve">How should national and regional teams sequence investments for electronic medical record completeness to maximize public health impact?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</si>
</sst>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0"/>
      <charset val="1"/>
    </font>
    <font>
      <b val="true"/>
      <sz val="12"/>
      <color theme="1"/>
      <name val="Aptos Narrow"/>
      <family val="0"/>
      <charset val="1"/>
    </font>
    <font>
      <b val="true"/>
      <sz val="12"/>
      <color theme="1"/>
      <name val="Aptos Narrow"/>
      <family val="2"/>
      <charset val="1"/>
    </font>
    <font>
      <b val="true"/>
      <sz val="11"/>
      <color theme="1"/>
      <name val="Aptos"/>
      <family val="0"/>
      <charset val="1"/>
    </font>
    <font>
      <sz val="11"/>
      <color theme="1"/>
      <name val="Aptos"/>
      <family val="0"/>
      <charset val="1"/>
    </font>
    <font>
      <b val="true"/>
      <sz val="11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0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Normal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K1" activeCellId="0" sqref="K1"/>
    </sheetView>
  </sheetViews>
  <sheetFormatPr defaultColWidth="25.59765625" defaultRowHeight="14.45" zeroHeight="false" outlineLevelRow="0" outlineLevelCol="0"/>
  <sheetData>
    <row r="1" s="3" customFormat="true" ht="95.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s="8" customFormat="true" ht="119.65" hidden="false" customHeight="true" outlineLevel="0" collapsed="false">
      <c r="A2" s="1" t="s">
        <v>12</v>
      </c>
      <c r="B2" s="1" t="s">
        <v>13</v>
      </c>
      <c r="C2" s="4" t="s">
        <v>14</v>
      </c>
      <c r="D2" s="5" t="s">
        <v>15</v>
      </c>
      <c r="E2" s="6" t="n">
        <v>3</v>
      </c>
      <c r="F2" s="6" t="n">
        <v>5</v>
      </c>
      <c r="G2" s="6" t="n">
        <v>2</v>
      </c>
      <c r="H2" s="6" t="n">
        <v>4</v>
      </c>
      <c r="I2" s="6" t="n">
        <v>2</v>
      </c>
      <c r="J2" s="7" t="s">
        <v>16</v>
      </c>
      <c r="K2" s="7"/>
      <c r="L2" s="6" t="n">
        <f aca="false">SUM(E2:I2)</f>
        <v>16</v>
      </c>
    </row>
    <row r="3" s="8" customFormat="true" ht="119.65" hidden="false" customHeight="true" outlineLevel="0" collapsed="false">
      <c r="A3" s="1" t="s">
        <v>17</v>
      </c>
      <c r="B3" s="1" t="s">
        <v>18</v>
      </c>
      <c r="C3" s="4" t="s">
        <v>19</v>
      </c>
      <c r="D3" s="5" t="s">
        <v>20</v>
      </c>
      <c r="E3" s="6" t="n">
        <v>5</v>
      </c>
      <c r="F3" s="6" t="n">
        <v>3</v>
      </c>
      <c r="G3" s="6" t="n">
        <v>1</v>
      </c>
      <c r="H3" s="6" t="n">
        <v>4</v>
      </c>
      <c r="I3" s="6" t="n">
        <v>4</v>
      </c>
      <c r="J3" s="7" t="s">
        <v>16</v>
      </c>
      <c r="K3" s="7"/>
      <c r="L3" s="6" t="n">
        <f aca="false">SUM(E3:I3)</f>
        <v>17</v>
      </c>
    </row>
    <row r="4" s="8" customFormat="true" ht="136.7" hidden="false" customHeight="true" outlineLevel="0" collapsed="false">
      <c r="A4" s="1" t="s">
        <v>21</v>
      </c>
      <c r="B4" s="1" t="s">
        <v>22</v>
      </c>
      <c r="C4" s="4" t="s">
        <v>23</v>
      </c>
      <c r="D4" s="5" t="s">
        <v>24</v>
      </c>
      <c r="E4" s="6" t="n">
        <v>2</v>
      </c>
      <c r="F4" s="6" t="n">
        <v>1</v>
      </c>
      <c r="G4" s="6" t="n">
        <v>5</v>
      </c>
      <c r="H4" s="6" t="n">
        <v>4</v>
      </c>
      <c r="I4" s="6" t="n">
        <v>1</v>
      </c>
      <c r="J4" s="7" t="s">
        <v>25</v>
      </c>
      <c r="K4" s="7"/>
      <c r="L4" s="6" t="n">
        <f aca="false">SUM(E4:I4)</f>
        <v>13</v>
      </c>
    </row>
    <row r="5" s="8" customFormat="true" ht="136.7" hidden="false" customHeight="true" outlineLevel="0" collapsed="false">
      <c r="A5" s="1" t="s">
        <v>26</v>
      </c>
      <c r="B5" s="1" t="s">
        <v>27</v>
      </c>
      <c r="C5" s="4" t="s">
        <v>28</v>
      </c>
      <c r="D5" s="5" t="s">
        <v>29</v>
      </c>
      <c r="E5" s="6" t="n">
        <v>4</v>
      </c>
      <c r="F5" s="6" t="n">
        <v>4</v>
      </c>
      <c r="G5" s="6" t="n">
        <v>4</v>
      </c>
      <c r="H5" s="6" t="n">
        <v>4</v>
      </c>
      <c r="I5" s="6" t="n">
        <v>3</v>
      </c>
      <c r="J5" s="7" t="s">
        <v>16</v>
      </c>
      <c r="K5" s="7"/>
      <c r="L5" s="6" t="n">
        <f aca="false">SUM(E5:I5)</f>
        <v>19</v>
      </c>
    </row>
    <row r="6" s="8" customFormat="true" ht="136.7" hidden="false" customHeight="true" outlineLevel="0" collapsed="false">
      <c r="A6" s="1" t="s">
        <v>30</v>
      </c>
      <c r="B6" s="1" t="s">
        <v>31</v>
      </c>
      <c r="C6" s="4" t="s">
        <v>32</v>
      </c>
      <c r="D6" s="5" t="s">
        <v>33</v>
      </c>
      <c r="E6" s="6" t="n">
        <v>1</v>
      </c>
      <c r="F6" s="6" t="n">
        <v>2</v>
      </c>
      <c r="G6" s="6" t="n">
        <v>3</v>
      </c>
      <c r="H6" s="6" t="n">
        <v>4</v>
      </c>
      <c r="I6" s="6" t="n">
        <v>5</v>
      </c>
      <c r="J6" s="7" t="s">
        <v>16</v>
      </c>
      <c r="K6" s="7"/>
      <c r="L6" s="6" t="n">
        <f aca="false">SUM(E6:I6)</f>
        <v>15</v>
      </c>
    </row>
    <row r="7" s="8" customFormat="true" ht="102.55" hidden="false" customHeight="true" outlineLevel="0" collapsed="false">
      <c r="A7" s="1" t="s">
        <v>12</v>
      </c>
      <c r="B7" s="1" t="s">
        <v>13</v>
      </c>
      <c r="C7" s="4" t="s">
        <v>34</v>
      </c>
      <c r="D7" s="5" t="s">
        <v>35</v>
      </c>
      <c r="E7" s="6" t="n">
        <v>3</v>
      </c>
      <c r="F7" s="6" t="n">
        <v>5</v>
      </c>
      <c r="G7" s="6" t="n">
        <v>2</v>
      </c>
      <c r="H7" s="6" t="n">
        <v>4</v>
      </c>
      <c r="I7" s="6" t="n">
        <v>2</v>
      </c>
      <c r="J7" s="7" t="s">
        <v>25</v>
      </c>
      <c r="K7" s="7"/>
      <c r="L7" s="6" t="n">
        <f aca="false">SUM(E7:I7)</f>
        <v>16</v>
      </c>
    </row>
    <row r="8" s="8" customFormat="true" ht="102.55" hidden="false" customHeight="true" outlineLevel="0" collapsed="false">
      <c r="A8" s="1" t="s">
        <v>17</v>
      </c>
      <c r="B8" s="1" t="s">
        <v>18</v>
      </c>
      <c r="C8" s="4" t="s">
        <v>36</v>
      </c>
      <c r="D8" s="5" t="s">
        <v>37</v>
      </c>
      <c r="E8" s="6" t="n">
        <v>5</v>
      </c>
      <c r="F8" s="6" t="n">
        <v>3</v>
      </c>
      <c r="G8" s="6" t="n">
        <v>1</v>
      </c>
      <c r="H8" s="6" t="n">
        <v>4</v>
      </c>
      <c r="I8" s="6" t="n">
        <v>4</v>
      </c>
      <c r="J8" s="7" t="s">
        <v>16</v>
      </c>
      <c r="K8" s="7"/>
      <c r="L8" s="6" t="n">
        <f aca="false">SUM(E8:I8)</f>
        <v>17</v>
      </c>
    </row>
    <row r="9" s="8" customFormat="true" ht="153.8" hidden="false" customHeight="true" outlineLevel="0" collapsed="false">
      <c r="A9" s="1" t="s">
        <v>21</v>
      </c>
      <c r="B9" s="1" t="s">
        <v>22</v>
      </c>
      <c r="C9" s="4" t="s">
        <v>38</v>
      </c>
      <c r="D9" s="5" t="s">
        <v>39</v>
      </c>
      <c r="E9" s="6" t="n">
        <v>2</v>
      </c>
      <c r="F9" s="6" t="n">
        <v>1</v>
      </c>
      <c r="G9" s="6" t="n">
        <v>5</v>
      </c>
      <c r="H9" s="6" t="n">
        <v>4</v>
      </c>
      <c r="I9" s="6" t="n">
        <v>1</v>
      </c>
      <c r="J9" s="7" t="s">
        <v>16</v>
      </c>
      <c r="K9" s="7"/>
      <c r="L9" s="6" t="n">
        <f aca="false">SUM(E9:I9)</f>
        <v>13</v>
      </c>
    </row>
    <row r="10" s="8" customFormat="true" ht="136.7" hidden="false" customHeight="true" outlineLevel="0" collapsed="false">
      <c r="A10" s="1" t="s">
        <v>26</v>
      </c>
      <c r="B10" s="1" t="s">
        <v>27</v>
      </c>
      <c r="C10" s="9" t="s">
        <v>40</v>
      </c>
      <c r="D10" s="10" t="s">
        <v>41</v>
      </c>
      <c r="E10" s="6" t="n">
        <v>4</v>
      </c>
      <c r="F10" s="6" t="n">
        <v>4</v>
      </c>
      <c r="G10" s="6" t="n">
        <v>4</v>
      </c>
      <c r="H10" s="6" t="n">
        <v>4</v>
      </c>
      <c r="I10" s="6" t="n">
        <v>3</v>
      </c>
      <c r="J10" s="7" t="s">
        <v>25</v>
      </c>
      <c r="K10" s="7"/>
      <c r="L10" s="6" t="n">
        <f aca="false">SUM(E10:I10)</f>
        <v>19</v>
      </c>
    </row>
    <row r="11" s="8" customFormat="true" ht="136.7" hidden="false" customHeight="true" outlineLevel="0" collapsed="false">
      <c r="A11" s="1" t="s">
        <v>30</v>
      </c>
      <c r="B11" s="1" t="s">
        <v>31</v>
      </c>
      <c r="C11" s="9" t="s">
        <v>42</v>
      </c>
      <c r="D11" s="10" t="s">
        <v>43</v>
      </c>
      <c r="E11" s="6" t="n">
        <v>1</v>
      </c>
      <c r="F11" s="6" t="n">
        <v>2</v>
      </c>
      <c r="G11" s="6" t="n">
        <v>3</v>
      </c>
      <c r="H11" s="6" t="n">
        <v>4</v>
      </c>
      <c r="I11" s="6" t="n">
        <v>5</v>
      </c>
      <c r="J11" s="7" t="s">
        <v>16</v>
      </c>
      <c r="K11" s="7"/>
      <c r="L11" s="6" t="n">
        <f aca="false">SUM(E11:I11)</f>
        <v>15</v>
      </c>
    </row>
    <row r="12" s="8" customFormat="true" ht="119.65" hidden="false" customHeight="true" outlineLevel="0" collapsed="false">
      <c r="A12" s="1" t="s">
        <v>12</v>
      </c>
      <c r="B12" s="1" t="s">
        <v>13</v>
      </c>
      <c r="C12" s="9" t="s">
        <v>44</v>
      </c>
      <c r="D12" s="10" t="s">
        <v>45</v>
      </c>
      <c r="E12" s="6" t="n">
        <v>3</v>
      </c>
      <c r="F12" s="6" t="n">
        <v>5</v>
      </c>
      <c r="G12" s="6" t="n">
        <v>2</v>
      </c>
      <c r="H12" s="6" t="n">
        <v>4</v>
      </c>
      <c r="I12" s="6" t="n">
        <v>2</v>
      </c>
      <c r="J12" s="7" t="s">
        <v>16</v>
      </c>
      <c r="K12" s="7"/>
      <c r="L12" s="6" t="n">
        <f aca="false">SUM(E12:I12)</f>
        <v>16</v>
      </c>
    </row>
    <row r="13" s="8" customFormat="true" ht="102.55" hidden="false" customHeight="true" outlineLevel="0" collapsed="false">
      <c r="A13" s="1" t="s">
        <v>17</v>
      </c>
      <c r="B13" s="1" t="s">
        <v>18</v>
      </c>
      <c r="C13" s="9" t="s">
        <v>46</v>
      </c>
      <c r="D13" s="10" t="s">
        <v>47</v>
      </c>
      <c r="E13" s="6" t="n">
        <v>5</v>
      </c>
      <c r="F13" s="6" t="n">
        <v>3</v>
      </c>
      <c r="G13" s="6" t="n">
        <v>1</v>
      </c>
      <c r="H13" s="6" t="n">
        <v>4</v>
      </c>
      <c r="I13" s="6" t="n">
        <v>4</v>
      </c>
      <c r="J13" s="7" t="s">
        <v>25</v>
      </c>
      <c r="K13" s="7"/>
      <c r="L13" s="6" t="n">
        <f aca="false">SUM(E13:I13)</f>
        <v>17</v>
      </c>
    </row>
    <row r="14" customFormat="false" ht="153.8" hidden="false" customHeight="true" outlineLevel="0" collapsed="false">
      <c r="A14" s="1" t="s">
        <v>21</v>
      </c>
      <c r="B14" s="1" t="s">
        <v>22</v>
      </c>
      <c r="C14" s="9" t="s">
        <v>48</v>
      </c>
      <c r="D14" s="10" t="s">
        <v>49</v>
      </c>
      <c r="E14" s="6" t="n">
        <v>2</v>
      </c>
      <c r="F14" s="6" t="n">
        <v>1</v>
      </c>
      <c r="G14" s="6" t="n">
        <v>5</v>
      </c>
      <c r="H14" s="6" t="n">
        <v>4</v>
      </c>
      <c r="I14" s="6" t="n">
        <v>1</v>
      </c>
      <c r="J14" s="7" t="s">
        <v>16</v>
      </c>
      <c r="K14" s="7"/>
      <c r="L14" s="6" t="n">
        <f aca="false">SUM(E14:I14)</f>
        <v>13</v>
      </c>
    </row>
    <row r="15" customFormat="false" ht="136.7" hidden="false" customHeight="true" outlineLevel="0" collapsed="false">
      <c r="A15" s="1" t="s">
        <v>26</v>
      </c>
      <c r="B15" s="1" t="s">
        <v>27</v>
      </c>
      <c r="C15" s="9" t="s">
        <v>50</v>
      </c>
      <c r="D15" s="10" t="s">
        <v>51</v>
      </c>
      <c r="E15" s="6" t="n">
        <v>4</v>
      </c>
      <c r="F15" s="6" t="n">
        <v>4</v>
      </c>
      <c r="G15" s="6" t="n">
        <v>4</v>
      </c>
      <c r="H15" s="6" t="n">
        <v>4</v>
      </c>
      <c r="I15" s="6" t="n">
        <v>3</v>
      </c>
      <c r="J15" s="7" t="s">
        <v>16</v>
      </c>
      <c r="K15" s="7"/>
      <c r="L15" s="6" t="n">
        <f aca="false">SUM(E15:I15)</f>
        <v>19</v>
      </c>
    </row>
    <row r="16" customFormat="false" ht="136.7" hidden="false" customHeight="true" outlineLevel="0" collapsed="false">
      <c r="A16" s="1" t="s">
        <v>30</v>
      </c>
      <c r="B16" s="1" t="s">
        <v>31</v>
      </c>
      <c r="C16" s="9" t="s">
        <v>52</v>
      </c>
      <c r="D16" s="10" t="s">
        <v>53</v>
      </c>
      <c r="E16" s="6" t="n">
        <v>1</v>
      </c>
      <c r="F16" s="6" t="n">
        <v>2</v>
      </c>
      <c r="G16" s="6" t="n">
        <v>3</v>
      </c>
      <c r="H16" s="6" t="n">
        <v>4</v>
      </c>
      <c r="I16" s="6" t="n">
        <v>5</v>
      </c>
      <c r="J16" s="7" t="s">
        <v>25</v>
      </c>
      <c r="K16" s="7"/>
      <c r="L16" s="6" t="n">
        <f aca="false">SUM(E16:I16)</f>
        <v>15</v>
      </c>
    </row>
    <row r="17" customFormat="false" ht="119.65" hidden="false" customHeight="true" outlineLevel="0" collapsed="false">
      <c r="A17" s="1" t="s">
        <v>12</v>
      </c>
      <c r="B17" s="1" t="s">
        <v>13</v>
      </c>
      <c r="C17" s="9" t="s">
        <v>54</v>
      </c>
      <c r="D17" s="10" t="s">
        <v>55</v>
      </c>
      <c r="E17" s="6" t="n">
        <v>3</v>
      </c>
      <c r="F17" s="6" t="n">
        <v>5</v>
      </c>
      <c r="G17" s="6" t="n">
        <v>2</v>
      </c>
      <c r="H17" s="6" t="n">
        <v>4</v>
      </c>
      <c r="I17" s="6" t="n">
        <v>2</v>
      </c>
      <c r="J17" s="7" t="s">
        <v>16</v>
      </c>
      <c r="K17" s="7"/>
      <c r="L17" s="6" t="n">
        <f aca="false">SUM(E17:I17)</f>
        <v>16</v>
      </c>
    </row>
    <row r="18" customFormat="false" ht="119.65" hidden="false" customHeight="true" outlineLevel="0" collapsed="false">
      <c r="A18" s="1" t="s">
        <v>17</v>
      </c>
      <c r="B18" s="1" t="s">
        <v>18</v>
      </c>
      <c r="C18" s="9" t="s">
        <v>56</v>
      </c>
      <c r="D18" s="10" t="s">
        <v>57</v>
      </c>
      <c r="E18" s="6" t="n">
        <v>5</v>
      </c>
      <c r="F18" s="6" t="n">
        <v>3</v>
      </c>
      <c r="G18" s="6" t="n">
        <v>1</v>
      </c>
      <c r="H18" s="6" t="n">
        <v>4</v>
      </c>
      <c r="I18" s="6" t="n">
        <v>4</v>
      </c>
      <c r="J18" s="7" t="s">
        <v>16</v>
      </c>
      <c r="K18" s="7"/>
      <c r="L18" s="6" t="n">
        <f aca="false">SUM(E18:I18)</f>
        <v>17</v>
      </c>
    </row>
    <row r="19" customFormat="false" ht="136.7" hidden="false" customHeight="true" outlineLevel="0" collapsed="false">
      <c r="A19" s="1" t="s">
        <v>21</v>
      </c>
      <c r="B19" s="1" t="s">
        <v>22</v>
      </c>
      <c r="C19" s="9" t="s">
        <v>58</v>
      </c>
      <c r="D19" s="10" t="s">
        <v>59</v>
      </c>
      <c r="E19" s="6" t="n">
        <v>2</v>
      </c>
      <c r="F19" s="6" t="n">
        <v>1</v>
      </c>
      <c r="G19" s="6" t="n">
        <v>5</v>
      </c>
      <c r="H19" s="6" t="n">
        <v>4</v>
      </c>
      <c r="I19" s="6" t="n">
        <v>1</v>
      </c>
      <c r="J19" s="7" t="s">
        <v>25</v>
      </c>
      <c r="K19" s="7"/>
      <c r="L19" s="6" t="n">
        <f aca="false">SUM(E19:I19)</f>
        <v>13</v>
      </c>
    </row>
    <row r="20" customFormat="false" ht="136.7" hidden="false" customHeight="true" outlineLevel="0" collapsed="false">
      <c r="A20" s="1" t="s">
        <v>26</v>
      </c>
      <c r="B20" s="1" t="s">
        <v>27</v>
      </c>
      <c r="C20" s="9" t="s">
        <v>60</v>
      </c>
      <c r="D20" s="10" t="s">
        <v>61</v>
      </c>
      <c r="E20" s="6" t="n">
        <v>4</v>
      </c>
      <c r="F20" s="6" t="n">
        <v>4</v>
      </c>
      <c r="G20" s="6" t="n">
        <v>4</v>
      </c>
      <c r="H20" s="6" t="n">
        <v>4</v>
      </c>
      <c r="I20" s="6" t="n">
        <v>3</v>
      </c>
      <c r="J20" s="7" t="s">
        <v>16</v>
      </c>
      <c r="K20" s="7"/>
      <c r="L20" s="6" t="n">
        <f aca="false">SUM(E20:I20)</f>
        <v>19</v>
      </c>
    </row>
    <row r="21" customFormat="false" ht="136.7" hidden="false" customHeight="true" outlineLevel="0" collapsed="false">
      <c r="A21" s="1" t="s">
        <v>30</v>
      </c>
      <c r="B21" s="1" t="s">
        <v>31</v>
      </c>
      <c r="C21" s="9" t="s">
        <v>62</v>
      </c>
      <c r="D21" s="10" t="s">
        <v>63</v>
      </c>
      <c r="E21" s="6" t="n">
        <v>1</v>
      </c>
      <c r="F21" s="6" t="n">
        <v>2</v>
      </c>
      <c r="G21" s="6" t="n">
        <v>3</v>
      </c>
      <c r="H21" s="6" t="n">
        <v>4</v>
      </c>
      <c r="I21" s="6" t="n">
        <v>5</v>
      </c>
      <c r="J21" s="7" t="s">
        <v>16</v>
      </c>
      <c r="K21" s="7"/>
      <c r="L21" s="6" t="n">
        <f aca="false">SUM(E21:I21)</f>
        <v>15</v>
      </c>
    </row>
    <row r="22" customFormat="false" ht="119.65" hidden="false" customHeight="true" outlineLevel="0" collapsed="false">
      <c r="A22" s="1" t="s">
        <v>12</v>
      </c>
      <c r="B22" s="1" t="s">
        <v>13</v>
      </c>
      <c r="C22" s="9" t="s">
        <v>64</v>
      </c>
      <c r="D22" s="10" t="s">
        <v>65</v>
      </c>
      <c r="E22" s="6" t="n">
        <v>3</v>
      </c>
      <c r="F22" s="6" t="n">
        <v>5</v>
      </c>
      <c r="G22" s="6" t="n">
        <v>2</v>
      </c>
      <c r="H22" s="6" t="n">
        <v>4</v>
      </c>
      <c r="I22" s="6" t="n">
        <v>2</v>
      </c>
      <c r="J22" s="7" t="s">
        <v>25</v>
      </c>
      <c r="K22" s="7"/>
      <c r="L22" s="6" t="n">
        <f aca="false">SUM(E22:I22)</f>
        <v>16</v>
      </c>
    </row>
    <row r="23" customFormat="false" ht="102.55" hidden="false" customHeight="true" outlineLevel="0" collapsed="false">
      <c r="A23" s="1" t="s">
        <v>17</v>
      </c>
      <c r="B23" s="1" t="s">
        <v>18</v>
      </c>
      <c r="C23" s="9" t="s">
        <v>66</v>
      </c>
      <c r="D23" s="10" t="s">
        <v>67</v>
      </c>
      <c r="E23" s="6" t="n">
        <v>5</v>
      </c>
      <c r="F23" s="6" t="n">
        <v>3</v>
      </c>
      <c r="G23" s="6" t="n">
        <v>1</v>
      </c>
      <c r="H23" s="6" t="n">
        <v>4</v>
      </c>
      <c r="I23" s="6" t="n">
        <v>4</v>
      </c>
      <c r="J23" s="7" t="s">
        <v>16</v>
      </c>
      <c r="K23" s="7"/>
      <c r="L23" s="6" t="n">
        <f aca="false">SUM(E23:I23)</f>
        <v>17</v>
      </c>
    </row>
    <row r="24" customFormat="false" ht="136.7" hidden="false" customHeight="true" outlineLevel="0" collapsed="false">
      <c r="A24" s="1" t="s">
        <v>21</v>
      </c>
      <c r="B24" s="1" t="s">
        <v>22</v>
      </c>
      <c r="C24" s="9" t="s">
        <v>68</v>
      </c>
      <c r="D24" s="10" t="s">
        <v>69</v>
      </c>
      <c r="E24" s="6" t="n">
        <v>2</v>
      </c>
      <c r="F24" s="6" t="n">
        <v>1</v>
      </c>
      <c r="G24" s="6" t="n">
        <v>5</v>
      </c>
      <c r="H24" s="6" t="n">
        <v>4</v>
      </c>
      <c r="I24" s="6" t="n">
        <v>1</v>
      </c>
      <c r="J24" s="7" t="s">
        <v>16</v>
      </c>
      <c r="K24" s="7"/>
      <c r="L24" s="6" t="n">
        <f aca="false">SUM(E24:I24)</f>
        <v>13</v>
      </c>
    </row>
    <row r="25" customFormat="false" ht="153.8" hidden="false" customHeight="true" outlineLevel="0" collapsed="false">
      <c r="A25" s="1" t="s">
        <v>26</v>
      </c>
      <c r="B25" s="1" t="s">
        <v>27</v>
      </c>
      <c r="C25" s="9" t="s">
        <v>70</v>
      </c>
      <c r="D25" s="10" t="s">
        <v>71</v>
      </c>
      <c r="E25" s="6" t="n">
        <v>4</v>
      </c>
      <c r="F25" s="6" t="n">
        <v>4</v>
      </c>
      <c r="G25" s="6" t="n">
        <v>4</v>
      </c>
      <c r="H25" s="6" t="n">
        <v>4</v>
      </c>
      <c r="I25" s="6" t="n">
        <v>3</v>
      </c>
      <c r="J25" s="7" t="s">
        <v>25</v>
      </c>
      <c r="K25" s="7"/>
      <c r="L25" s="6" t="n">
        <f aca="false">SUM(E25:I25)</f>
        <v>19</v>
      </c>
    </row>
    <row r="26" customFormat="false" ht="136.7" hidden="false" customHeight="true" outlineLevel="0" collapsed="false">
      <c r="A26" s="1" t="s">
        <v>30</v>
      </c>
      <c r="B26" s="1" t="s">
        <v>31</v>
      </c>
      <c r="C26" s="9" t="s">
        <v>72</v>
      </c>
      <c r="D26" s="10" t="s">
        <v>73</v>
      </c>
      <c r="E26" s="6" t="n">
        <v>1</v>
      </c>
      <c r="F26" s="6" t="n">
        <v>2</v>
      </c>
      <c r="G26" s="6" t="n">
        <v>3</v>
      </c>
      <c r="H26" s="6" t="n">
        <v>4</v>
      </c>
      <c r="I26" s="6" t="n">
        <v>5</v>
      </c>
      <c r="J26" s="7" t="s">
        <v>16</v>
      </c>
      <c r="K26" s="7"/>
      <c r="L26" s="6" t="n">
        <f aca="false">SUM(E26:I26)</f>
        <v>15</v>
      </c>
    </row>
    <row r="27" customFormat="false" ht="102.55" hidden="false" customHeight="true" outlineLevel="0" collapsed="false">
      <c r="A27" s="1" t="s">
        <v>12</v>
      </c>
      <c r="B27" s="1" t="s">
        <v>13</v>
      </c>
      <c r="C27" s="9" t="s">
        <v>74</v>
      </c>
      <c r="D27" s="10" t="s">
        <v>75</v>
      </c>
      <c r="E27" s="6" t="n">
        <v>3</v>
      </c>
      <c r="F27" s="6" t="n">
        <v>5</v>
      </c>
      <c r="G27" s="6" t="n">
        <v>2</v>
      </c>
      <c r="H27" s="6" t="n">
        <v>4</v>
      </c>
      <c r="I27" s="6" t="n">
        <v>2</v>
      </c>
      <c r="J27" s="7" t="s">
        <v>16</v>
      </c>
      <c r="K27" s="7"/>
      <c r="L27" s="6" t="n">
        <f aca="false">SUM(E27:I27)</f>
        <v>16</v>
      </c>
    </row>
    <row r="28" customFormat="false" ht="119.65" hidden="false" customHeight="true" outlineLevel="0" collapsed="false">
      <c r="A28" s="1" t="s">
        <v>17</v>
      </c>
      <c r="B28" s="1" t="s">
        <v>18</v>
      </c>
      <c r="C28" s="9" t="s">
        <v>76</v>
      </c>
      <c r="D28" s="10" t="s">
        <v>77</v>
      </c>
      <c r="E28" s="6" t="n">
        <v>5</v>
      </c>
      <c r="F28" s="6" t="n">
        <v>3</v>
      </c>
      <c r="G28" s="6" t="n">
        <v>1</v>
      </c>
      <c r="H28" s="6" t="n">
        <v>4</v>
      </c>
      <c r="I28" s="6" t="n">
        <v>4</v>
      </c>
      <c r="J28" s="7" t="s">
        <v>25</v>
      </c>
      <c r="K28" s="7"/>
      <c r="L28" s="6" t="n">
        <f aca="false">SUM(E28:I28)</f>
        <v>17</v>
      </c>
    </row>
    <row r="29" customFormat="false" ht="136.7" hidden="false" customHeight="true" outlineLevel="0" collapsed="false">
      <c r="A29" s="1" t="s">
        <v>21</v>
      </c>
      <c r="B29" s="1" t="s">
        <v>22</v>
      </c>
      <c r="C29" s="9" t="s">
        <v>78</v>
      </c>
      <c r="D29" s="10" t="s">
        <v>79</v>
      </c>
      <c r="E29" s="6" t="n">
        <v>2</v>
      </c>
      <c r="F29" s="6" t="n">
        <v>1</v>
      </c>
      <c r="G29" s="6" t="n">
        <v>5</v>
      </c>
      <c r="H29" s="6" t="n">
        <v>4</v>
      </c>
      <c r="I29" s="6" t="n">
        <v>1</v>
      </c>
      <c r="J29" s="7" t="s">
        <v>16</v>
      </c>
      <c r="K29" s="7"/>
      <c r="L29" s="6" t="n">
        <f aca="false">SUM(E29:I29)</f>
        <v>13</v>
      </c>
    </row>
    <row r="30" customFormat="false" ht="136.7" hidden="false" customHeight="true" outlineLevel="0" collapsed="false">
      <c r="A30" s="1" t="s">
        <v>26</v>
      </c>
      <c r="B30" s="1" t="s">
        <v>27</v>
      </c>
      <c r="C30" s="9" t="s">
        <v>80</v>
      </c>
      <c r="D30" s="10" t="s">
        <v>81</v>
      </c>
      <c r="E30" s="6" t="n">
        <v>4</v>
      </c>
      <c r="F30" s="6" t="n">
        <v>4</v>
      </c>
      <c r="G30" s="6" t="n">
        <v>4</v>
      </c>
      <c r="H30" s="6" t="n">
        <v>4</v>
      </c>
      <c r="I30" s="6" t="n">
        <v>3</v>
      </c>
      <c r="J30" s="7" t="s">
        <v>16</v>
      </c>
      <c r="K30" s="7"/>
      <c r="L30" s="6" t="n">
        <f aca="false">SUM(E30:I30)</f>
        <v>19</v>
      </c>
    </row>
    <row r="31" customFormat="false" ht="136.7" hidden="false" customHeight="true" outlineLevel="0" collapsed="false">
      <c r="A31" s="1" t="s">
        <v>30</v>
      </c>
      <c r="B31" s="1" t="s">
        <v>31</v>
      </c>
      <c r="C31" s="9" t="s">
        <v>82</v>
      </c>
      <c r="D31" s="10" t="s">
        <v>83</v>
      </c>
      <c r="E31" s="6" t="n">
        <v>1</v>
      </c>
      <c r="F31" s="6" t="n">
        <v>2</v>
      </c>
      <c r="G31" s="6" t="n">
        <v>3</v>
      </c>
      <c r="H31" s="6" t="n">
        <v>4</v>
      </c>
      <c r="I31" s="6" t="n">
        <v>5</v>
      </c>
      <c r="J31" s="7" t="s">
        <v>25</v>
      </c>
      <c r="K31" s="7"/>
      <c r="L31" s="6" t="n">
        <f aca="false">SUM(E31:I31)</f>
        <v>15</v>
      </c>
    </row>
    <row r="32" customFormat="false" ht="119.65" hidden="false" customHeight="true" outlineLevel="0" collapsed="false">
      <c r="A32" s="1" t="s">
        <v>12</v>
      </c>
      <c r="B32" s="1" t="s">
        <v>13</v>
      </c>
      <c r="C32" s="9" t="s">
        <v>84</v>
      </c>
      <c r="D32" s="10" t="s">
        <v>85</v>
      </c>
      <c r="E32" s="6" t="n">
        <v>3</v>
      </c>
      <c r="F32" s="6" t="n">
        <v>5</v>
      </c>
      <c r="G32" s="6" t="n">
        <v>2</v>
      </c>
      <c r="H32" s="6" t="n">
        <v>4</v>
      </c>
      <c r="I32" s="6" t="n">
        <v>2</v>
      </c>
      <c r="J32" s="7" t="s">
        <v>16</v>
      </c>
      <c r="K32" s="7"/>
      <c r="L32" s="6" t="n">
        <f aca="false">SUM(E32:I32)</f>
        <v>16</v>
      </c>
    </row>
    <row r="33" customFormat="false" ht="102.55" hidden="false" customHeight="true" outlineLevel="0" collapsed="false">
      <c r="A33" s="1" t="s">
        <v>17</v>
      </c>
      <c r="B33" s="1" t="s">
        <v>18</v>
      </c>
      <c r="C33" s="9" t="s">
        <v>86</v>
      </c>
      <c r="D33" s="10" t="s">
        <v>87</v>
      </c>
      <c r="E33" s="6" t="n">
        <v>5</v>
      </c>
      <c r="F33" s="6" t="n">
        <v>3</v>
      </c>
      <c r="G33" s="6" t="n">
        <v>1</v>
      </c>
      <c r="H33" s="6" t="n">
        <v>4</v>
      </c>
      <c r="I33" s="6" t="n">
        <v>4</v>
      </c>
      <c r="J33" s="7" t="s">
        <v>16</v>
      </c>
      <c r="K33" s="7"/>
      <c r="L33" s="6" t="n">
        <f aca="false">SUM(E33:I33)</f>
        <v>17</v>
      </c>
    </row>
    <row r="34" customFormat="false" ht="153.8" hidden="false" customHeight="true" outlineLevel="0" collapsed="false">
      <c r="A34" s="1" t="s">
        <v>21</v>
      </c>
      <c r="B34" s="1" t="s">
        <v>22</v>
      </c>
      <c r="C34" s="9" t="s">
        <v>88</v>
      </c>
      <c r="D34" s="10" t="s">
        <v>89</v>
      </c>
      <c r="E34" s="6" t="n">
        <v>2</v>
      </c>
      <c r="F34" s="6" t="n">
        <v>1</v>
      </c>
      <c r="G34" s="6" t="n">
        <v>5</v>
      </c>
      <c r="H34" s="6" t="n">
        <v>4</v>
      </c>
      <c r="I34" s="6" t="n">
        <v>1</v>
      </c>
      <c r="J34" s="7" t="s">
        <v>25</v>
      </c>
      <c r="K34" s="7"/>
      <c r="L34" s="6" t="n">
        <f aca="false">SUM(E34:I34)</f>
        <v>13</v>
      </c>
    </row>
    <row r="35" customFormat="false" ht="136.7" hidden="false" customHeight="true" outlineLevel="0" collapsed="false">
      <c r="A35" s="1" t="s">
        <v>26</v>
      </c>
      <c r="B35" s="1" t="s">
        <v>27</v>
      </c>
      <c r="C35" s="9" t="s">
        <v>90</v>
      </c>
      <c r="D35" s="10" t="s">
        <v>91</v>
      </c>
      <c r="E35" s="6" t="n">
        <v>4</v>
      </c>
      <c r="F35" s="6" t="n">
        <v>4</v>
      </c>
      <c r="G35" s="6" t="n">
        <v>4</v>
      </c>
      <c r="H35" s="6" t="n">
        <v>4</v>
      </c>
      <c r="I35" s="6" t="n">
        <v>3</v>
      </c>
      <c r="J35" s="7" t="s">
        <v>16</v>
      </c>
      <c r="K35" s="7"/>
      <c r="L35" s="6" t="n">
        <f aca="false">SUM(E35:I35)</f>
        <v>19</v>
      </c>
    </row>
    <row r="36" customFormat="false" ht="119.65" hidden="false" customHeight="true" outlineLevel="0" collapsed="false">
      <c r="A36" s="1" t="s">
        <v>30</v>
      </c>
      <c r="B36" s="1" t="s">
        <v>31</v>
      </c>
      <c r="C36" s="9" t="s">
        <v>92</v>
      </c>
      <c r="D36" s="10" t="s">
        <v>93</v>
      </c>
      <c r="E36" s="6" t="n">
        <v>1</v>
      </c>
      <c r="F36" s="6" t="n">
        <v>2</v>
      </c>
      <c r="G36" s="6" t="n">
        <v>3</v>
      </c>
      <c r="H36" s="6" t="n">
        <v>4</v>
      </c>
      <c r="I36" s="6" t="n">
        <v>5</v>
      </c>
      <c r="J36" s="7" t="s">
        <v>16</v>
      </c>
      <c r="K36" s="7"/>
      <c r="L36" s="6" t="n">
        <f aca="false">SUM(E36:I36)</f>
        <v>15</v>
      </c>
    </row>
    <row r="37" customFormat="false" ht="102.55" hidden="false" customHeight="true" outlineLevel="0" collapsed="false">
      <c r="A37" s="1" t="s">
        <v>12</v>
      </c>
      <c r="B37" s="1" t="s">
        <v>13</v>
      </c>
      <c r="C37" s="9" t="s">
        <v>94</v>
      </c>
      <c r="D37" s="10" t="s">
        <v>95</v>
      </c>
      <c r="E37" s="6" t="n">
        <v>3</v>
      </c>
      <c r="F37" s="6" t="n">
        <v>5</v>
      </c>
      <c r="G37" s="6" t="n">
        <v>2</v>
      </c>
      <c r="H37" s="6" t="n">
        <v>4</v>
      </c>
      <c r="I37" s="6" t="n">
        <v>2</v>
      </c>
      <c r="J37" s="7" t="s">
        <v>25</v>
      </c>
      <c r="K37" s="7"/>
      <c r="L37" s="6" t="n">
        <f aca="false">SUM(E37:I37)</f>
        <v>16</v>
      </c>
    </row>
    <row r="38" customFormat="false" ht="102.55" hidden="false" customHeight="true" outlineLevel="0" collapsed="false">
      <c r="A38" s="1" t="s">
        <v>17</v>
      </c>
      <c r="B38" s="1" t="s">
        <v>18</v>
      </c>
      <c r="C38" s="9" t="s">
        <v>96</v>
      </c>
      <c r="D38" s="10" t="s">
        <v>97</v>
      </c>
      <c r="E38" s="6" t="n">
        <v>5</v>
      </c>
      <c r="F38" s="6" t="n">
        <v>3</v>
      </c>
      <c r="G38" s="6" t="n">
        <v>1</v>
      </c>
      <c r="H38" s="6" t="n">
        <v>4</v>
      </c>
      <c r="I38" s="6" t="n">
        <v>4</v>
      </c>
      <c r="J38" s="7" t="s">
        <v>16</v>
      </c>
      <c r="K38" s="7"/>
      <c r="L38" s="6" t="n">
        <f aca="false">SUM(E38:I38)</f>
        <v>17</v>
      </c>
    </row>
    <row r="39" customFormat="false" ht="136.7" hidden="false" customHeight="true" outlineLevel="0" collapsed="false">
      <c r="A39" s="1" t="s">
        <v>21</v>
      </c>
      <c r="B39" s="1" t="s">
        <v>22</v>
      </c>
      <c r="C39" s="9" t="s">
        <v>98</v>
      </c>
      <c r="D39" s="10" t="s">
        <v>99</v>
      </c>
      <c r="E39" s="6" t="n">
        <v>2</v>
      </c>
      <c r="F39" s="6" t="n">
        <v>1</v>
      </c>
      <c r="G39" s="6" t="n">
        <v>5</v>
      </c>
      <c r="H39" s="6" t="n">
        <v>4</v>
      </c>
      <c r="I39" s="6" t="n">
        <v>1</v>
      </c>
      <c r="J39" s="7" t="s">
        <v>16</v>
      </c>
      <c r="K39" s="7"/>
      <c r="L39" s="6" t="n">
        <f aca="false">SUM(E39:I39)</f>
        <v>13</v>
      </c>
    </row>
    <row r="40" customFormat="false" ht="153.8" hidden="false" customHeight="true" outlineLevel="0" collapsed="false">
      <c r="A40" s="1" t="s">
        <v>26</v>
      </c>
      <c r="B40" s="1" t="s">
        <v>27</v>
      </c>
      <c r="C40" s="9" t="s">
        <v>100</v>
      </c>
      <c r="D40" s="10" t="s">
        <v>101</v>
      </c>
      <c r="E40" s="6" t="n">
        <v>4</v>
      </c>
      <c r="F40" s="6" t="n">
        <v>4</v>
      </c>
      <c r="G40" s="6" t="n">
        <v>4</v>
      </c>
      <c r="H40" s="6" t="n">
        <v>4</v>
      </c>
      <c r="I40" s="6" t="n">
        <v>3</v>
      </c>
      <c r="J40" s="7" t="s">
        <v>25</v>
      </c>
      <c r="K40" s="7"/>
      <c r="L40" s="6" t="n">
        <f aca="false">SUM(E40:I40)</f>
        <v>19</v>
      </c>
    </row>
    <row r="41" customFormat="false" ht="136.7" hidden="false" customHeight="true" outlineLevel="0" collapsed="false">
      <c r="A41" s="1" t="s">
        <v>30</v>
      </c>
      <c r="B41" s="1" t="s">
        <v>31</v>
      </c>
      <c r="C41" s="9" t="s">
        <v>102</v>
      </c>
      <c r="D41" s="10" t="s">
        <v>103</v>
      </c>
      <c r="E41" s="6" t="n">
        <v>1</v>
      </c>
      <c r="F41" s="6" t="n">
        <v>2</v>
      </c>
      <c r="G41" s="6" t="n">
        <v>3</v>
      </c>
      <c r="H41" s="6" t="n">
        <v>4</v>
      </c>
      <c r="I41" s="6" t="n">
        <v>5</v>
      </c>
      <c r="J41" s="7" t="s">
        <v>16</v>
      </c>
      <c r="K41" s="7"/>
      <c r="L41" s="6" t="n">
        <f aca="false">SUM(E41:I41)</f>
        <v>15</v>
      </c>
    </row>
    <row r="42" customFormat="false" ht="119.65" hidden="false" customHeight="true" outlineLevel="0" collapsed="false">
      <c r="A42" s="1" t="s">
        <v>12</v>
      </c>
      <c r="B42" s="1" t="s">
        <v>13</v>
      </c>
      <c r="C42" s="9" t="s">
        <v>104</v>
      </c>
      <c r="D42" s="10" t="s">
        <v>105</v>
      </c>
      <c r="E42" s="6" t="n">
        <v>3</v>
      </c>
      <c r="F42" s="6" t="n">
        <v>5</v>
      </c>
      <c r="G42" s="6" t="n">
        <v>2</v>
      </c>
      <c r="H42" s="6" t="n">
        <v>4</v>
      </c>
      <c r="I42" s="6" t="n">
        <v>2</v>
      </c>
      <c r="J42" s="7" t="s">
        <v>16</v>
      </c>
      <c r="K42" s="7"/>
      <c r="L42" s="6" t="n">
        <f aca="false">SUM(E42:I42)</f>
        <v>16</v>
      </c>
    </row>
    <row r="43" customFormat="false" ht="119.65" hidden="false" customHeight="true" outlineLevel="0" collapsed="false">
      <c r="A43" s="1" t="s">
        <v>17</v>
      </c>
      <c r="B43" s="1" t="s">
        <v>18</v>
      </c>
      <c r="C43" s="9" t="s">
        <v>106</v>
      </c>
      <c r="D43" s="10" t="s">
        <v>107</v>
      </c>
      <c r="E43" s="6" t="n">
        <v>5</v>
      </c>
      <c r="F43" s="6" t="n">
        <v>3</v>
      </c>
      <c r="G43" s="6" t="n">
        <v>1</v>
      </c>
      <c r="H43" s="6" t="n">
        <v>4</v>
      </c>
      <c r="I43" s="6" t="n">
        <v>4</v>
      </c>
      <c r="J43" s="7" t="s">
        <v>25</v>
      </c>
      <c r="K43" s="7"/>
      <c r="L43" s="6" t="n">
        <f aca="false">SUM(E43:I43)</f>
        <v>17</v>
      </c>
    </row>
    <row r="44" customFormat="false" ht="136.7" hidden="false" customHeight="true" outlineLevel="0" collapsed="false">
      <c r="A44" s="1" t="s">
        <v>21</v>
      </c>
      <c r="B44" s="1" t="s">
        <v>22</v>
      </c>
      <c r="C44" s="9" t="s">
        <v>108</v>
      </c>
      <c r="D44" s="10" t="s">
        <v>109</v>
      </c>
      <c r="E44" s="6" t="n">
        <v>2</v>
      </c>
      <c r="F44" s="6" t="n">
        <v>1</v>
      </c>
      <c r="G44" s="6" t="n">
        <v>5</v>
      </c>
      <c r="H44" s="6" t="n">
        <v>4</v>
      </c>
      <c r="I44" s="6" t="n">
        <v>1</v>
      </c>
      <c r="J44" s="7" t="s">
        <v>16</v>
      </c>
      <c r="K44" s="7"/>
      <c r="L44" s="6" t="n">
        <f aca="false">SUM(E44:I44)</f>
        <v>13</v>
      </c>
    </row>
    <row r="45" customFormat="false" ht="136.7" hidden="false" customHeight="true" outlineLevel="0" collapsed="false">
      <c r="A45" s="1" t="s">
        <v>26</v>
      </c>
      <c r="B45" s="1" t="s">
        <v>27</v>
      </c>
      <c r="C45" s="9" t="s">
        <v>110</v>
      </c>
      <c r="D45" s="10" t="s">
        <v>111</v>
      </c>
      <c r="E45" s="6" t="n">
        <v>4</v>
      </c>
      <c r="F45" s="6" t="n">
        <v>4</v>
      </c>
      <c r="G45" s="6" t="n">
        <v>4</v>
      </c>
      <c r="H45" s="6" t="n">
        <v>4</v>
      </c>
      <c r="I45" s="6" t="n">
        <v>3</v>
      </c>
      <c r="J45" s="7" t="s">
        <v>16</v>
      </c>
      <c r="K45" s="7"/>
      <c r="L45" s="6" t="n">
        <f aca="false">SUM(E45:I45)</f>
        <v>19</v>
      </c>
    </row>
    <row r="46" customFormat="false" ht="136.7" hidden="false" customHeight="true" outlineLevel="0" collapsed="false">
      <c r="A46" s="1" t="s">
        <v>30</v>
      </c>
      <c r="B46" s="1" t="s">
        <v>31</v>
      </c>
      <c r="C46" s="9" t="s">
        <v>112</v>
      </c>
      <c r="D46" s="10" t="s">
        <v>113</v>
      </c>
      <c r="E46" s="6" t="n">
        <v>1</v>
      </c>
      <c r="F46" s="6" t="n">
        <v>2</v>
      </c>
      <c r="G46" s="6" t="n">
        <v>3</v>
      </c>
      <c r="H46" s="6" t="n">
        <v>4</v>
      </c>
      <c r="I46" s="6" t="n">
        <v>5</v>
      </c>
      <c r="J46" s="7" t="s">
        <v>25</v>
      </c>
      <c r="K46" s="7"/>
      <c r="L46" s="6" t="n">
        <f aca="false">SUM(E46:I46)</f>
        <v>15</v>
      </c>
    </row>
    <row r="47" customFormat="false" ht="119.65" hidden="false" customHeight="true" outlineLevel="0" collapsed="false">
      <c r="A47" s="1" t="s">
        <v>12</v>
      </c>
      <c r="B47" s="1" t="s">
        <v>13</v>
      </c>
      <c r="C47" s="9" t="s">
        <v>114</v>
      </c>
      <c r="D47" s="10" t="s">
        <v>115</v>
      </c>
      <c r="E47" s="6" t="n">
        <v>3</v>
      </c>
      <c r="F47" s="6" t="n">
        <v>5</v>
      </c>
      <c r="G47" s="6" t="n">
        <v>2</v>
      </c>
      <c r="H47" s="6" t="n">
        <v>4</v>
      </c>
      <c r="I47" s="6" t="n">
        <v>2</v>
      </c>
      <c r="J47" s="7" t="s">
        <v>16</v>
      </c>
      <c r="K47" s="7"/>
      <c r="L47" s="6" t="n">
        <f aca="false">SUM(E47:I47)</f>
        <v>16</v>
      </c>
    </row>
    <row r="48" customFormat="false" ht="119.65" hidden="false" customHeight="true" outlineLevel="0" collapsed="false">
      <c r="A48" s="1" t="s">
        <v>17</v>
      </c>
      <c r="B48" s="1" t="s">
        <v>18</v>
      </c>
      <c r="C48" s="9" t="s">
        <v>116</v>
      </c>
      <c r="D48" s="10" t="s">
        <v>117</v>
      </c>
      <c r="E48" s="6" t="n">
        <v>5</v>
      </c>
      <c r="F48" s="6" t="n">
        <v>3</v>
      </c>
      <c r="G48" s="6" t="n">
        <v>1</v>
      </c>
      <c r="H48" s="6" t="n">
        <v>4</v>
      </c>
      <c r="I48" s="6" t="n">
        <v>4</v>
      </c>
      <c r="J48" s="7" t="s">
        <v>16</v>
      </c>
      <c r="K48" s="7"/>
      <c r="L48" s="6" t="n">
        <f aca="false">SUM(E48:I48)</f>
        <v>17</v>
      </c>
    </row>
    <row r="49" customFormat="false" ht="153.8" hidden="false" customHeight="true" outlineLevel="0" collapsed="false">
      <c r="A49" s="1" t="s">
        <v>21</v>
      </c>
      <c r="B49" s="1" t="s">
        <v>22</v>
      </c>
      <c r="C49" s="9" t="s">
        <v>118</v>
      </c>
      <c r="D49" s="10" t="s">
        <v>119</v>
      </c>
      <c r="E49" s="6" t="n">
        <v>2</v>
      </c>
      <c r="F49" s="6" t="n">
        <v>1</v>
      </c>
      <c r="G49" s="6" t="n">
        <v>5</v>
      </c>
      <c r="H49" s="6" t="n">
        <v>4</v>
      </c>
      <c r="I49" s="6" t="n">
        <v>1</v>
      </c>
      <c r="J49" s="7" t="s">
        <v>25</v>
      </c>
      <c r="K49" s="7"/>
      <c r="L49" s="6" t="n">
        <f aca="false">SUM(E49:I49)</f>
        <v>13</v>
      </c>
    </row>
    <row r="50" customFormat="false" ht="136.7" hidden="false" customHeight="true" outlineLevel="0" collapsed="false">
      <c r="A50" s="1" t="s">
        <v>26</v>
      </c>
      <c r="B50" s="1" t="s">
        <v>27</v>
      </c>
      <c r="C50" s="9" t="s">
        <v>120</v>
      </c>
      <c r="D50" s="10" t="s">
        <v>121</v>
      </c>
      <c r="E50" s="6" t="n">
        <v>4</v>
      </c>
      <c r="F50" s="6" t="n">
        <v>4</v>
      </c>
      <c r="G50" s="6" t="n">
        <v>4</v>
      </c>
      <c r="H50" s="6" t="n">
        <v>4</v>
      </c>
      <c r="I50" s="6" t="n">
        <v>3</v>
      </c>
      <c r="J50" s="7" t="s">
        <v>16</v>
      </c>
      <c r="K50" s="7"/>
      <c r="L50" s="6" t="n">
        <f aca="false">SUM(E50:I50)</f>
        <v>19</v>
      </c>
    </row>
    <row r="51" customFormat="false" ht="136.7" hidden="false" customHeight="true" outlineLevel="0" collapsed="false">
      <c r="A51" s="1" t="s">
        <v>30</v>
      </c>
      <c r="B51" s="1" t="s">
        <v>31</v>
      </c>
      <c r="C51" s="9" t="s">
        <v>122</v>
      </c>
      <c r="D51" s="10" t="s">
        <v>123</v>
      </c>
      <c r="E51" s="6" t="n">
        <v>1</v>
      </c>
      <c r="F51" s="6" t="n">
        <v>2</v>
      </c>
      <c r="G51" s="6" t="n">
        <v>3</v>
      </c>
      <c r="H51" s="6" t="n">
        <v>4</v>
      </c>
      <c r="I51" s="6" t="n">
        <v>5</v>
      </c>
      <c r="J51" s="7" t="s">
        <v>16</v>
      </c>
      <c r="K51" s="7"/>
      <c r="L51" s="6" t="n">
        <f aca="false">SUM(E51:I51)</f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2026-04-15T17:47:59Z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